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ic\Desktop\Results &amp; Figures\Meta-Study\"/>
    </mc:Choice>
  </mc:AlternateContent>
  <xr:revisionPtr revIDLastSave="0" documentId="13_ncr:1_{AF7CBF6A-718E-4FBA-AF25-C0E765DA2C5E}" xr6:coauthVersionLast="47" xr6:coauthVersionMax="47" xr10:uidLastSave="{00000000-0000-0000-0000-000000000000}"/>
  <bookViews>
    <workbookView xWindow="-120" yWindow="-120" windowWidth="38640" windowHeight="21120" xr2:uid="{E8A2F96D-7A17-4A38-BDF7-8B8A1658BC4A}"/>
  </bookViews>
  <sheets>
    <sheet name="Overview" sheetId="1" r:id="rId1"/>
    <sheet name="Sourc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G26" i="1"/>
  <c r="E20" i="1"/>
  <c r="G23" i="1"/>
  <c r="E13" i="1"/>
  <c r="E19" i="1"/>
  <c r="E18" i="1" l="1"/>
  <c r="E14" i="1"/>
  <c r="E15" i="1"/>
  <c r="E16" i="1"/>
  <c r="H23" i="1" l="1"/>
  <c r="E17" i="1" l="1"/>
  <c r="E10" i="1" l="1"/>
  <c r="E11" i="1"/>
  <c r="E9" i="1" l="1"/>
  <c r="E21" i="1" l="1"/>
  <c r="E3" i="1"/>
  <c r="E4" i="1"/>
  <c r="E5" i="1"/>
  <c r="E6" i="1"/>
  <c r="E7" i="1"/>
  <c r="E8" i="1"/>
  <c r="E12" i="1"/>
  <c r="E2" i="1"/>
</calcChain>
</file>

<file path=xl/sharedStrings.xml><?xml version="1.0" encoding="utf-8"?>
<sst xmlns="http://schemas.openxmlformats.org/spreadsheetml/2006/main" count="63" uniqueCount="51">
  <si>
    <t>Reference</t>
  </si>
  <si>
    <t>Start</t>
  </si>
  <si>
    <t>End</t>
  </si>
  <si>
    <t>Location</t>
  </si>
  <si>
    <t>California</t>
  </si>
  <si>
    <t>Australia</t>
  </si>
  <si>
    <t>Arizona</t>
  </si>
  <si>
    <t>Texas</t>
  </si>
  <si>
    <t>PJM</t>
  </si>
  <si>
    <t>Germany</t>
  </si>
  <si>
    <t>Vietnam</t>
  </si>
  <si>
    <t>Aydın et al., 2023</t>
  </si>
  <si>
    <t>Havas et al., 2015</t>
  </si>
  <si>
    <t>Qiu et al., 2019</t>
  </si>
  <si>
    <t>Spiller et al., 2017</t>
  </si>
  <si>
    <t>Beppler et al., 2021</t>
  </si>
  <si>
    <t>Galvin et al., 2022 I</t>
  </si>
  <si>
    <t>Galvin et al., 2022 II</t>
  </si>
  <si>
    <t>USA</t>
  </si>
  <si>
    <t>Nguyen et al., 2024 I</t>
  </si>
  <si>
    <t>Frondel et al., 2020 I</t>
  </si>
  <si>
    <t>Frondel et al., 2020 II</t>
  </si>
  <si>
    <t>Netherlands</t>
  </si>
  <si>
    <t>Time (mean)</t>
  </si>
  <si>
    <t>Marginal solar rebound (included)</t>
  </si>
  <si>
    <t>Solar rebound effect strength</t>
  </si>
  <si>
    <t>Toroghi, S. H. &amp; Oliver, M. E. (2019). Framework for estimation of the direct rebound effect for residential photovoltaic systems. Applied Energy, 251, 113391. https://doi.org/10.1016/j.apenergy.2019.113391</t>
  </si>
  <si>
    <t>Boccard, N. &amp; Gautier, A. (2021). Solar rebound: The unintended consequences of subsidies. Energy Economics, 100, 105334. https://doi.org/10.1016/j.eneco.2021.105334</t>
  </si>
  <si>
    <t>Nguyen, L. T., Ratnasiri, S., Wagner, L., Nguyen, D., &amp; Rohde, N. (2024). Solar rebound effects: Short and long term dynamics. Renewable Energy, 223, 120051. https://doi.org/10.1016/j.renene.2024.120051</t>
  </si>
  <si>
    <t>Aydın, E., Brounen, D., &amp; Ergün, A. (2023). The rebound effect of solar panel adoption: Evidence from Dutch households. Energy Economics, 120, 106645. https://doi.org/10.1016/j.eneco.2023.106645</t>
  </si>
  <si>
    <t>Kim, J. D., &amp; Trevena, W. (2021). Measuring the rebound effect: A case study of residential photovoltaic systems in San Diego. Utilities Policy, 69, 101163. https://doi.org/10.1016/j.jup.2020.101163</t>
  </si>
  <si>
    <t>Havas, L., Ballweg, J., Penna, C., &amp; Race, D. (2015). Power to change: Analysis of household participation in a renewable energy and energy efficiency programme in Central Australia. Energy Policy, 87, 325–333. https://doi.org/10.1016/j.enpol.2015.09.017</t>
  </si>
  <si>
    <t>Qiu, Y., Kahn, M. E., &amp; Xing, B. (2019). Quantifying the rebound effects of residential solar panel adoption. Journal of Environmental Economics and Management, 96, 310–341. https://doi.org/10.1016/j.jeem.2019.06.003</t>
  </si>
  <si>
    <t>Deng, G., &amp; Newton, P. (2017). Assessing the impact of solar PV on domestic electricity consumption: Exploring the prospect of rebound effects. Energy Policy, 110, 313–324. https://doi.org/10.1016/j.enpol.2017.08.035</t>
  </si>
  <si>
    <t>Spiller, E., Sopher, P., Martin, N., Mirzatuny, M., &amp; Zhang, X. (2017). The environmental impacts of green technologies in TX. Energy Economics, 68, 199–214. https://doi.org/10.1016/j.eneco.2017.09.009</t>
  </si>
  <si>
    <t>Beppler, R. C., Matisoff, D. C., &amp; Oliver, M. E. (2021b). Electricity consumption changes following solar adoption: Testing for a solar rebound. Economic Inquiry, 61(1), 58–81. https://doi.org/10.1111/ecin.13031</t>
  </si>
  <si>
    <t>Galvin, R., Schuler, J., Atasoy, A. T., Schmitz, H., Pfaff, M., &amp; Kegel, J. (2021). A health research interdisciplinary approach for energy studies: Confirming substantial rebound effects among solar photovoltaic households in Germany. Energy Research &amp; Social Science, 86, 102429. https://doi.org/10.1016/j.erss.2021.102429</t>
  </si>
  <si>
    <t>Switzerland</t>
  </si>
  <si>
    <t>Bigler, P. (2025). Magnitude and decomposition of the solar rebound: Evidence from Swiss households. Journal of Environmental Economics and Management, 133, 103194. https://doi.org/10.1016/j.jeem.2025.103194</t>
  </si>
  <si>
    <t>Nguyen et al., 2024 II</t>
  </si>
  <si>
    <t>Frondel, M., Kaestner, K., Sommer, S., &amp; Vance, C. (2022). Photovoltaics and the solar rebound. Land Economics, 99(2), 265–282. https://doi.org/10.3368/le.070621-0077r1</t>
  </si>
  <si>
    <t>Discrete solar rebound (included)</t>
  </si>
  <si>
    <t>Average marginal value</t>
  </si>
  <si>
    <t>Average discrete value</t>
  </si>
  <si>
    <t>Boccard &amp; Gautier, 2021</t>
  </si>
  <si>
    <t>Toroghi &amp; Oliver, 2019</t>
  </si>
  <si>
    <t>Kim &amp; Trevena, 2021</t>
  </si>
  <si>
    <t>Deng &amp; Newton, 2017</t>
  </si>
  <si>
    <t>Bigler, 2025 I</t>
  </si>
  <si>
    <t>Bigler, 2025 II</t>
  </si>
  <si>
    <t>Belgien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</si>
</sst>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1" fillId="0" borderId="0" xfId="0" applyFont="1" applyAlignment="1">
      <alignment vertical="center" textRotation="90" wrapText="1"/>
    </xf>
    <xf numFmtId="10" fontId="0" fillId="3" borderId="0" xfId="0" applyNumberFormat="1" applyFill="1"/>
    <xf numFmtId="0" fontId="1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8BC1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608992222182088E-2"/>
          <c:y val="3.3721478303531005E-2"/>
          <c:w val="0.89642029781680455"/>
          <c:h val="0.88211624485685214"/>
        </c:manualLayout>
      </c:layout>
      <c:scatterChart>
        <c:scatterStyle val="lineMarker"/>
        <c:varyColors val="0"/>
        <c:ser>
          <c:idx val="0"/>
          <c:order val="0"/>
          <c:tx>
            <c:strRef>
              <c:f>Overview!$G$1</c:f>
              <c:strCache>
                <c:ptCount val="1"/>
                <c:pt idx="0">
                  <c:v>Solar rebound effect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Pt>
            <c:idx val="12"/>
            <c:marker>
              <c:spPr>
                <a:solidFill>
                  <a:schemeClr val="bg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292-467E-BBAF-7C33BE7CEE28}"/>
              </c:ext>
            </c:extLst>
          </c:dPt>
          <c:dPt>
            <c:idx val="13"/>
            <c:marker>
              <c:spPr>
                <a:solidFill>
                  <a:schemeClr val="bg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292-467E-BBAF-7C33BE7CEE28}"/>
              </c:ext>
            </c:extLst>
          </c:dPt>
          <c:dPt>
            <c:idx val="14"/>
            <c:marker>
              <c:spPr>
                <a:solidFill>
                  <a:schemeClr val="bg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292-467E-BBAF-7C33BE7CEE28}"/>
              </c:ext>
            </c:extLst>
          </c:dPt>
          <c:dPt>
            <c:idx val="15"/>
            <c:marker>
              <c:spPr>
                <a:solidFill>
                  <a:schemeClr val="bg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292-467E-BBAF-7C33BE7CEE28}"/>
              </c:ext>
            </c:extLst>
          </c:dPt>
          <c:dPt>
            <c:idx val="16"/>
            <c:marker>
              <c:spPr>
                <a:solidFill>
                  <a:schemeClr val="bg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B292-467E-BBAF-7C33BE7CEE28}"/>
              </c:ext>
            </c:extLst>
          </c:dPt>
          <c:dPt>
            <c:idx val="17"/>
            <c:marker>
              <c:spPr>
                <a:solidFill>
                  <a:schemeClr val="bg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B292-467E-BBAF-7C33BE7CEE28}"/>
              </c:ext>
            </c:extLst>
          </c:dPt>
          <c:dPt>
            <c:idx val="18"/>
            <c:marker>
              <c:spPr>
                <a:solidFill>
                  <a:schemeClr val="bg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B292-467E-BBAF-7C33BE7CEE28}"/>
              </c:ext>
            </c:extLst>
          </c:dPt>
          <c:dPt>
            <c:idx val="19"/>
            <c:marker>
              <c:spPr>
                <a:solidFill>
                  <a:schemeClr val="bg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B292-467E-BBAF-7C33BE7CEE28}"/>
              </c:ext>
            </c:extLst>
          </c:dPt>
          <c:dLbls>
            <c:dLbl>
              <c:idx val="0"/>
              <c:layout>
                <c:manualLayout>
                  <c:x val="-0.14464119988815632"/>
                  <c:y val="1.7712476424083104E-4"/>
                </c:manualLayout>
              </c:layout>
              <c:tx>
                <c:rich>
                  <a:bodyPr/>
                  <a:lstStyle/>
                  <a:p>
                    <a:fld id="{2C2BFC22-786F-44A4-8E85-D97B06BCE899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011-40E1-90A2-FEC9C5513F1B}"/>
                </c:ext>
              </c:extLst>
            </c:dLbl>
            <c:dLbl>
              <c:idx val="1"/>
              <c:layout>
                <c:manualLayout>
                  <c:x val="5.3280635228910385E-7"/>
                  <c:y val="-3.3563741789924143E-3"/>
                </c:manualLayout>
              </c:layout>
              <c:tx>
                <c:rich>
                  <a:bodyPr/>
                  <a:lstStyle/>
                  <a:p>
                    <a:fld id="{6FFA2B3E-9AD0-42F5-A0C7-DF9018B00BFC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011-40E1-90A2-FEC9C5513F1B}"/>
                </c:ext>
              </c:extLst>
            </c:dLbl>
            <c:dLbl>
              <c:idx val="2"/>
              <c:layout>
                <c:manualLayout>
                  <c:x val="-4.3761161738074708E-4"/>
                  <c:y val="-3.1111869338454582E-3"/>
                </c:manualLayout>
              </c:layout>
              <c:tx>
                <c:rich>
                  <a:bodyPr/>
                  <a:lstStyle/>
                  <a:p>
                    <a:fld id="{F201E3C7-F641-4982-8F08-112EF62DE53B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011-40E1-90A2-FEC9C5513F1B}"/>
                </c:ext>
              </c:extLst>
            </c:dLbl>
            <c:dLbl>
              <c:idx val="3"/>
              <c:layout>
                <c:manualLayout>
                  <c:x val="-3.4459515763333123E-3"/>
                  <c:y val="6.0521699615944651E-3"/>
                </c:manualLayout>
              </c:layout>
              <c:tx>
                <c:rich>
                  <a:bodyPr rot="0" vert="horz" lIns="38100" tIns="19050" rIns="38100" bIns="19050">
                    <a:spAutoFit/>
                  </a:bodyPr>
                  <a:lstStyle/>
                  <a:p>
                    <a:pPr>
                      <a:defRPr sz="1400" b="1"/>
                    </a:pPr>
                    <a:fld id="{38BF539E-9576-4BEC-B550-CCB333685580}" type="CELLRANGE">
                      <a:rPr lang="en-US"/>
                      <a:pPr>
                        <a:defRPr sz="1400" b="1"/>
                      </a:pPr>
                      <a:t>[ZELLBEREICH]</a:t>
                    </a:fld>
                    <a:endParaRPr lang="de-DE"/>
                  </a:p>
                </c:rich>
              </c:tx>
              <c:spPr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011-40E1-90A2-FEC9C5513F1B}"/>
                </c:ext>
              </c:extLst>
            </c:dLbl>
            <c:dLbl>
              <c:idx val="4"/>
              <c:layout>
                <c:manualLayout>
                  <c:x val="-2.2555468915322597E-3"/>
                  <c:y val="0"/>
                </c:manualLayout>
              </c:layout>
              <c:tx>
                <c:rich>
                  <a:bodyPr/>
                  <a:lstStyle/>
                  <a:p>
                    <a:fld id="{3C18CD65-4512-45DC-9D79-9345F4CA3367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011-40E1-90A2-FEC9C5513F1B}"/>
                </c:ext>
              </c:extLst>
            </c:dLbl>
            <c:dLbl>
              <c:idx val="5"/>
              <c:layout>
                <c:manualLayout>
                  <c:x val="-2.2555468915322597E-3"/>
                  <c:y val="0"/>
                </c:manualLayout>
              </c:layout>
              <c:tx>
                <c:rich>
                  <a:bodyPr/>
                  <a:lstStyle/>
                  <a:p>
                    <a:fld id="{62A55300-FD58-4426-B417-6EEC0079C4F6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011-40E1-90A2-FEC9C5513F1B}"/>
                </c:ext>
              </c:extLst>
            </c:dLbl>
            <c:dLbl>
              <c:idx val="6"/>
              <c:layout>
                <c:manualLayout>
                  <c:x val="-2.2555468915322597E-3"/>
                  <c:y val="0"/>
                </c:manualLayout>
              </c:layout>
              <c:tx>
                <c:rich>
                  <a:bodyPr/>
                  <a:lstStyle/>
                  <a:p>
                    <a:fld id="{D6ECAFC1-AFA0-434C-BC86-F76439AF0A11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011-40E1-90A2-FEC9C5513F1B}"/>
                </c:ext>
              </c:extLst>
            </c:dLbl>
            <c:dLbl>
              <c:idx val="7"/>
              <c:layout>
                <c:manualLayout>
                  <c:x val="-0.16482761665436088"/>
                  <c:y val="5.7789562954596986E-4"/>
                </c:manualLayout>
              </c:layout>
              <c:tx>
                <c:rich>
                  <a:bodyPr/>
                  <a:lstStyle/>
                  <a:p>
                    <a:fld id="{E817888B-5BD9-4564-A093-4196E22A278A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011-40E1-90A2-FEC9C5513F1B}"/>
                </c:ext>
              </c:extLst>
            </c:dLbl>
            <c:dLbl>
              <c:idx val="8"/>
              <c:layout>
                <c:manualLayout>
                  <c:x val="-0.16177244309183872"/>
                  <c:y val="1.938529977610742E-2"/>
                </c:manualLayout>
              </c:layout>
              <c:tx>
                <c:rich>
                  <a:bodyPr/>
                  <a:lstStyle/>
                  <a:p>
                    <a:fld id="{D416994A-645E-4D5B-A42D-02B270DBE784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011-40E1-90A2-FEC9C5513F1B}"/>
                </c:ext>
              </c:extLst>
            </c:dLbl>
            <c:dLbl>
              <c:idx val="9"/>
              <c:layout>
                <c:manualLayout>
                  <c:x val="-1.7585273658666668E-3"/>
                  <c:y val="-8.6297272258674537E-4"/>
                </c:manualLayout>
              </c:layout>
              <c:tx>
                <c:rich>
                  <a:bodyPr/>
                  <a:lstStyle/>
                  <a:p>
                    <a:fld id="{32A3213B-649E-4ABC-877A-06882BB50E14}" type="CELLRANGE">
                      <a:rPr lang="en-US" sz="1400">
                        <a:solidFill>
                          <a:sysClr val="windowText" lastClr="000000"/>
                        </a:solidFill>
                      </a:rPr>
                      <a:pPr/>
                      <a:t>[ZELLBEREICH]</a:t>
                    </a:fld>
                    <a:endParaRPr lang="de-D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3011-40E1-90A2-FEC9C5513F1B}"/>
                </c:ext>
              </c:extLst>
            </c:dLbl>
            <c:dLbl>
              <c:idx val="10"/>
              <c:layout>
                <c:manualLayout>
                  <c:x val="-2.2555468915322597E-3"/>
                  <c:y val="0"/>
                </c:manualLayout>
              </c:layout>
              <c:tx>
                <c:rich>
                  <a:bodyPr/>
                  <a:lstStyle/>
                  <a:p>
                    <a:fld id="{19259FC8-879D-478B-B4CF-58ADE3AA4D0B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011-40E1-90A2-FEC9C5513F1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34AA892-07D9-401C-ABDF-CBB9C3E97B35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011-40E1-90A2-FEC9C5513F1B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400" b="1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762EDC7-2A23-41AB-B265-C86491A62D48}" type="CELLRANGE">
                      <a:rPr lang="en-US"/>
                      <a:pPr algn="ctr" rtl="0">
                        <a:defRPr lang="en-US" sz="1400" b="1" i="0" u="none" strike="noStrike" kern="1200" baseline="0">
                          <a:solidFill>
                            <a:schemeClr val="bg1"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[ZELLBEREICH]</a:t>
                    </a:fld>
                    <a:endParaRPr lang="de-DE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292-467E-BBAF-7C33BE7CEE28}"/>
                </c:ext>
              </c:extLst>
            </c:dLbl>
            <c:dLbl>
              <c:idx val="13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400" b="1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591474B-DE2A-4E70-A8CD-4C9D0E073ECA}" type="CELLRANGE">
                      <a:rPr lang="en-US"/>
                      <a:pPr algn="ctr" rtl="0">
                        <a:defRPr lang="en-US" sz="1400" b="1" i="0" u="none" strike="noStrike" kern="1200" baseline="0">
                          <a:solidFill>
                            <a:schemeClr val="bg1"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[ZELLBEREICH]</a:t>
                    </a:fld>
                    <a:endParaRPr lang="de-DE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292-467E-BBAF-7C33BE7CEE28}"/>
                </c:ext>
              </c:extLst>
            </c:dLbl>
            <c:dLbl>
              <c:idx val="14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400" b="1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F5C41BF-CF93-4FC4-92BA-A3C0B807EF51}" type="CELLRANGE">
                      <a:rPr lang="en-US"/>
                      <a:pPr algn="ctr" rtl="0">
                        <a:defRPr lang="en-US" sz="1400" b="1" i="0" u="none" strike="noStrike" kern="1200" baseline="0">
                          <a:solidFill>
                            <a:schemeClr val="bg1"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[ZELLBEREICH]</a:t>
                    </a:fld>
                    <a:endParaRPr lang="de-DE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292-467E-BBAF-7C33BE7CEE28}"/>
                </c:ext>
              </c:extLst>
            </c:dLbl>
            <c:dLbl>
              <c:idx val="15"/>
              <c:layout>
                <c:manualLayout>
                  <c:x val="-0.16784988950140042"/>
                  <c:y val="-7.1078611406209538E-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400" b="1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77F1FA5-F209-4E32-9643-4F79441CF227}" type="CELLRANGE">
                      <a:rPr lang="en-US" sz="1400" b="1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rPr>
                      <a:pPr algn="ctr" rtl="0">
                        <a:defRPr lang="en-US" sz="1400" b="1" i="0" u="none" strike="noStrike" kern="1200" baseline="0">
                          <a:solidFill>
                            <a:schemeClr val="bg1"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[ZELLBEREICH]</a:t>
                    </a:fld>
                    <a:endParaRPr lang="de-DE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292-467E-BBAF-7C33BE7CEE28}"/>
                </c:ext>
              </c:extLst>
            </c:dLbl>
            <c:dLbl>
              <c:idx val="16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400" b="1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4B3B8D6-964D-4E54-ADA4-22BB0C551999}" type="CELLRANGE">
                      <a:rPr lang="en-US"/>
                      <a:pPr algn="ctr" rtl="0">
                        <a:defRPr lang="en-US" sz="1400" b="1" i="0" u="none" strike="noStrike" kern="1200" baseline="0">
                          <a:solidFill>
                            <a:schemeClr val="bg1"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[ZELLBEREICH]</a:t>
                    </a:fld>
                    <a:endParaRPr lang="de-DE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292-467E-BBAF-7C33BE7CEE28}"/>
                </c:ext>
              </c:extLst>
            </c:dLbl>
            <c:dLbl>
              <c:idx val="17"/>
              <c:layout>
                <c:manualLayout>
                  <c:x val="-0.17618286273905862"/>
                  <c:y val="1.93852997761074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400" b="1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1441311-EAFC-44B9-B534-3EABB51B8E01}" type="CELLRANGE">
                      <a:rPr lang="en-US" sz="1400" b="1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rPr>
                      <a:pPr algn="ctr" rtl="0">
                        <a:defRPr lang="en-US" sz="1400" b="1" i="0" u="none" strike="noStrike" kern="1200" baseline="0">
                          <a:solidFill>
                            <a:schemeClr val="bg1"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[ZELLBEREICH]</a:t>
                    </a:fld>
                    <a:endParaRPr lang="de-DE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292-467E-BBAF-7C33BE7CEE28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400" b="1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91BE2A2-89D9-4B2D-BF1F-3F1AEA462554}" type="CELLRANGE">
                      <a:rPr lang="en-US"/>
                      <a:pPr algn="ctr" rtl="0">
                        <a:defRPr lang="en-US" sz="1400" b="1" i="0" u="none" strike="noStrike" kern="1200" baseline="0">
                          <a:solidFill>
                            <a:schemeClr val="bg1"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[ZELLBEREICH]</a:t>
                    </a:fld>
                    <a:endParaRPr lang="de-DE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292-467E-BBAF-7C33BE7CEE28}"/>
                </c:ext>
              </c:extLst>
            </c:dLbl>
            <c:dLbl>
              <c:idx val="19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400" b="1" i="0" u="none" strike="noStrike" kern="1200" baseline="0">
                        <a:solidFill>
                          <a:schemeClr val="bg1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FFE3B13-49B8-4EAB-8FDB-81F364DFB240}" type="CELLRANGE">
                      <a:rPr lang="en-US"/>
                      <a:pPr algn="ctr" rtl="0">
                        <a:defRPr lang="en-US" sz="1400" b="1" i="0" u="none" strike="noStrike" kern="1200" baseline="0">
                          <a:solidFill>
                            <a:schemeClr val="bg1"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[ZELLBEREICH]</a:t>
                    </a:fld>
                    <a:endParaRPr lang="de-DE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292-467E-BBAF-7C33BE7CEE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Overview!$D$2:$D$21</c:f>
              <c:numCache>
                <c:formatCode>General</c:formatCode>
                <c:ptCount val="20"/>
                <c:pt idx="0">
                  <c:v>2014</c:v>
                </c:pt>
                <c:pt idx="1">
                  <c:v>2013</c:v>
                </c:pt>
                <c:pt idx="2">
                  <c:v>2017</c:v>
                </c:pt>
                <c:pt idx="3">
                  <c:v>2014</c:v>
                </c:pt>
                <c:pt idx="4">
                  <c:v>2014</c:v>
                </c:pt>
                <c:pt idx="5">
                  <c:v>2015</c:v>
                </c:pt>
                <c:pt idx="6">
                  <c:v>2015</c:v>
                </c:pt>
                <c:pt idx="7">
                  <c:v>2018</c:v>
                </c:pt>
                <c:pt idx="8">
                  <c:v>2020</c:v>
                </c:pt>
                <c:pt idx="9">
                  <c:v>2018</c:v>
                </c:pt>
                <c:pt idx="10">
                  <c:v>2015</c:v>
                </c:pt>
                <c:pt idx="11">
                  <c:v>2019</c:v>
                </c:pt>
                <c:pt idx="12">
                  <c:v>2014</c:v>
                </c:pt>
                <c:pt idx="13">
                  <c:v>2014</c:v>
                </c:pt>
                <c:pt idx="14">
                  <c:v>2017</c:v>
                </c:pt>
                <c:pt idx="15">
                  <c:v>2021</c:v>
                </c:pt>
                <c:pt idx="16">
                  <c:v>2021</c:v>
                </c:pt>
                <c:pt idx="17">
                  <c:v>2015</c:v>
                </c:pt>
                <c:pt idx="18">
                  <c:v>2019</c:v>
                </c:pt>
                <c:pt idx="19">
                  <c:v>2018</c:v>
                </c:pt>
              </c:numCache>
            </c:numRef>
          </c:xVal>
          <c:yVal>
            <c:numRef>
              <c:f>Overview!$G$2:$G$21</c:f>
              <c:numCache>
                <c:formatCode>0.00%</c:formatCode>
                <c:ptCount val="20"/>
                <c:pt idx="0">
                  <c:v>7.6999999999999999E-2</c:v>
                </c:pt>
                <c:pt idx="1">
                  <c:v>0.15</c:v>
                </c:pt>
                <c:pt idx="2">
                  <c:v>0.18</c:v>
                </c:pt>
                <c:pt idx="3">
                  <c:v>0.16700000000000001</c:v>
                </c:pt>
                <c:pt idx="4">
                  <c:v>0.20899999999999999</c:v>
                </c:pt>
                <c:pt idx="5">
                  <c:v>8.5000000000000006E-2</c:v>
                </c:pt>
                <c:pt idx="6">
                  <c:v>0.1</c:v>
                </c:pt>
                <c:pt idx="7">
                  <c:v>0.28499999999999998</c:v>
                </c:pt>
                <c:pt idx="8">
                  <c:v>0.14000000000000001</c:v>
                </c:pt>
                <c:pt idx="9">
                  <c:v>0.33</c:v>
                </c:pt>
                <c:pt idx="10">
                  <c:v>0.23</c:v>
                </c:pt>
                <c:pt idx="11">
                  <c:v>0.111</c:v>
                </c:pt>
                <c:pt idx="12">
                  <c:v>5.8000000000000003E-2</c:v>
                </c:pt>
                <c:pt idx="13">
                  <c:v>2.9000000000000001E-2</c:v>
                </c:pt>
                <c:pt idx="14">
                  <c:v>0.35</c:v>
                </c:pt>
                <c:pt idx="15">
                  <c:v>0.16</c:v>
                </c:pt>
                <c:pt idx="16">
                  <c:v>3.5000000000000003E-2</c:v>
                </c:pt>
                <c:pt idx="17">
                  <c:v>0.35</c:v>
                </c:pt>
                <c:pt idx="18">
                  <c:v>7.9600000000000004E-2</c:v>
                </c:pt>
                <c:pt idx="19">
                  <c:v>6.6000000000000003E-2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Overview!$B$2:$B$21</c15:f>
                <c15:dlblRangeCache>
                  <c:ptCount val="20"/>
                  <c:pt idx="0">
                    <c:v>Aydın et al., 2023</c:v>
                  </c:pt>
                  <c:pt idx="1">
                    <c:v>Havas et al., 2015</c:v>
                  </c:pt>
                  <c:pt idx="2">
                    <c:v>Qiu et al., 2019</c:v>
                  </c:pt>
                  <c:pt idx="3">
                    <c:v>Deng &amp; Newton, 2017</c:v>
                  </c:pt>
                  <c:pt idx="4">
                    <c:v>Deng &amp; Newton, 2017</c:v>
                  </c:pt>
                  <c:pt idx="5">
                    <c:v>Spiller et al., 2017</c:v>
                  </c:pt>
                  <c:pt idx="6">
                    <c:v>Spiller et al., 2017</c:v>
                  </c:pt>
                  <c:pt idx="7">
                    <c:v>Beppler et al., 2021</c:v>
                  </c:pt>
                  <c:pt idx="8">
                    <c:v>Galvin et al., 2022 I</c:v>
                  </c:pt>
                  <c:pt idx="9">
                    <c:v>Galvin et al., 2022 II</c:v>
                  </c:pt>
                  <c:pt idx="10">
                    <c:v>Frondel et al., 2020 I</c:v>
                  </c:pt>
                  <c:pt idx="11">
                    <c:v>Bigler, 2025 I</c:v>
                  </c:pt>
                  <c:pt idx="12">
                    <c:v>Toroghi &amp; Oliver, 2019</c:v>
                  </c:pt>
                  <c:pt idx="13">
                    <c:v>Toroghi &amp; Oliver, 2019</c:v>
                  </c:pt>
                  <c:pt idx="14">
                    <c:v>Boccard &amp; Gautier, 2021</c:v>
                  </c:pt>
                  <c:pt idx="15">
                    <c:v>Nguyen et al., 2024 I</c:v>
                  </c:pt>
                  <c:pt idx="16">
                    <c:v>Nguyen et al., 2024 II</c:v>
                  </c:pt>
                  <c:pt idx="17">
                    <c:v>Frondel et al., 2020 II</c:v>
                  </c:pt>
                  <c:pt idx="18">
                    <c:v>Bigler, 2025 II</c:v>
                  </c:pt>
                  <c:pt idx="19">
                    <c:v>Kim &amp; Trevena, 2021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011-40E1-90A2-FEC9C5513F1B}"/>
            </c:ext>
          </c:extLst>
        </c:ser>
        <c:ser>
          <c:idx val="5"/>
          <c:order val="1"/>
          <c:spPr>
            <a:ln w="1905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65E-4094-8F9C-AEA1504099F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5E-4094-8F9C-AEA1504099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Overview!$G$23</c:f>
              <c:numCache>
                <c:formatCode>0.00%</c:formatCode>
                <c:ptCount val="1"/>
                <c:pt idx="0">
                  <c:v>0.17200000000000001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BF-4603-AC1F-6E861C2BDAC8}"/>
            </c:ext>
          </c:extLst>
        </c:ser>
        <c:ser>
          <c:idx val="1"/>
          <c:order val="2"/>
          <c:tx>
            <c:v>Mean</c:v>
          </c:tx>
          <c:spPr>
            <a:ln w="19050">
              <a:noFill/>
              <a:prstDash val="sysDot"/>
            </a:ln>
          </c:spPr>
          <c:marker>
            <c:symbol val="none"/>
          </c:marker>
          <c:dPt>
            <c:idx val="0"/>
            <c:bubble3D val="0"/>
            <c:spPr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ADA-4CC4-B414-32CFD77A26BC}"/>
              </c:ext>
            </c:extLst>
          </c:dPt>
          <c:trendline>
            <c:spPr>
              <a:ln w="25400">
                <a:solidFill>
                  <a:schemeClr val="tx1"/>
                </a:solidFill>
                <a:prstDash val="lgDash"/>
              </a:ln>
            </c:spPr>
            <c:trendlineType val="linear"/>
            <c:dispRSqr val="0"/>
            <c:dispEq val="0"/>
          </c:trendline>
          <c:xVal>
            <c:numRef>
              <c:f>Overview!$E$23:$E$24</c:f>
              <c:numCache>
                <c:formatCode>General</c:formatCode>
                <c:ptCount val="2"/>
                <c:pt idx="0">
                  <c:v>2012</c:v>
                </c:pt>
                <c:pt idx="1">
                  <c:v>2025</c:v>
                </c:pt>
              </c:numCache>
            </c:numRef>
          </c:xVal>
          <c:yVal>
            <c:numRef>
              <c:f>Overview!$G$23:$H$23</c:f>
              <c:numCache>
                <c:formatCode>0.00%</c:formatCode>
                <c:ptCount val="2"/>
                <c:pt idx="0">
                  <c:v>0.17200000000000001</c:v>
                </c:pt>
                <c:pt idx="1">
                  <c:v>0.17200000000000001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DA-4CC4-B414-32CFD77A26BC}"/>
            </c:ext>
          </c:extLst>
        </c:ser>
        <c:ser>
          <c:idx val="2"/>
          <c:order val="3"/>
          <c:tx>
            <c:v>Mean discrete</c:v>
          </c:tx>
          <c:spPr>
            <a:ln w="25400">
              <a:solidFill>
                <a:schemeClr val="bg1">
                  <a:lumMod val="50000"/>
                </a:schemeClr>
              </a:solidFill>
              <a:prstDash val="lgDash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C-7D20-4570-A267-8301AAD9F9C3}"/>
              </c:ext>
            </c:extLst>
          </c:dPt>
          <c:xVal>
            <c:numRef>
              <c:f>Overview!$E$26:$E$27</c:f>
              <c:numCache>
                <c:formatCode>General</c:formatCode>
                <c:ptCount val="2"/>
                <c:pt idx="0">
                  <c:v>2012</c:v>
                </c:pt>
                <c:pt idx="1">
                  <c:v>2025</c:v>
                </c:pt>
              </c:numCache>
            </c:numRef>
          </c:xVal>
          <c:yVal>
            <c:numRef>
              <c:f>Overview!$G$26:$H$26</c:f>
              <c:numCache>
                <c:formatCode>0.00%</c:formatCode>
                <c:ptCount val="2"/>
                <c:pt idx="0">
                  <c:v>0.14094999999999999</c:v>
                </c:pt>
                <c:pt idx="1">
                  <c:v>0.14094999999999999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292-467E-BBAF-7C33BE7CE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444416"/>
        <c:axId val="787447368"/>
      </c:scatterChart>
      <c:valAx>
        <c:axId val="787444416"/>
        <c:scaling>
          <c:orientation val="minMax"/>
          <c:max val="2025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787447368"/>
        <c:crosses val="autoZero"/>
        <c:crossBetween val="midCat"/>
        <c:majorUnit val="1"/>
      </c:valAx>
      <c:valAx>
        <c:axId val="787447368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DE" sz="1600"/>
                  <a:t>Solar</a:t>
                </a:r>
                <a:r>
                  <a:rPr lang="de-DE" sz="1600" baseline="0"/>
                  <a:t> rebound</a:t>
                </a:r>
                <a:r>
                  <a:rPr lang="de-DE" sz="1600"/>
                  <a:t> effect strength</a:t>
                </a:r>
              </a:p>
            </c:rich>
          </c:tx>
          <c:layout>
            <c:manualLayout>
              <c:xMode val="edge"/>
              <c:yMode val="edge"/>
              <c:x val="5.8748767808886404E-3"/>
              <c:y val="0.26889419737475556"/>
            </c:manualLayout>
          </c:layout>
          <c:overlay val="0"/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b" anchorCtr="0"/>
          <a:lstStyle/>
          <a:p>
            <a:pPr algn="ctr">
              <a:defRPr lang="en-US" sz="16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78744441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323739</xdr:colOff>
      <xdr:row>1</xdr:row>
      <xdr:rowOff>80433</xdr:rowOff>
    </xdr:from>
    <xdr:to>
      <xdr:col>22</xdr:col>
      <xdr:colOff>324200</xdr:colOff>
      <xdr:row>35</xdr:row>
      <xdr:rowOff>163072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79814D70-E513-45C6-8E1E-C1D659143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0.7306</cdr:x>
      <cdr:y>0.48798</cdr:y>
    </cdr:from>
    <cdr:to>
      <cdr:x>0.96961</cdr:x>
      <cdr:y>0.53894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F2FF57E2-8564-9B13-4949-9E554C2E5A93}"/>
            </a:ext>
          </a:extLst>
        </cdr:cNvPr>
        <cdr:cNvSpPr txBox="1"/>
      </cdr:nvSpPr>
      <cdr:spPr>
        <a:xfrm xmlns:a="http://schemas.openxmlformats.org/drawingml/2006/main">
          <a:off x="7794388" y="3196931"/>
          <a:ext cx="2549874" cy="333857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de-DE" sz="1400" b="1" i="1" kern="1200">
              <a:solidFill>
                <a:sysClr val="windowText" lastClr="000000"/>
              </a:solidFill>
            </a:rPr>
            <a:t>Average marginal SRE (</a:t>
          </a:r>
          <a:r>
            <a:rPr lang="de-DE" sz="1400" b="1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≈ 17.2%)</a:t>
          </a:r>
          <a:endParaRPr lang="de-DE" sz="1400" b="1" i="1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0.73903</cdr:x>
      <cdr:y>0.55625</cdr:y>
    </cdr:from>
    <cdr:to>
      <cdr:x>0.98369</cdr:x>
      <cdr:y>0.60721</cdr:y>
    </cdr:to>
    <cdr:sp macro="" textlink="">
      <cdr:nvSpPr>
        <cdr:cNvPr id="3" name="Textfeld 1">
          <a:extLst xmlns:a="http://schemas.openxmlformats.org/drawingml/2006/main">
            <a:ext uri="{FF2B5EF4-FFF2-40B4-BE49-F238E27FC236}">
              <a16:creationId xmlns:a16="http://schemas.microsoft.com/office/drawing/2014/main" id="{D97BEEEF-8EB8-632C-7463-F81018172AB0}"/>
            </a:ext>
          </a:extLst>
        </cdr:cNvPr>
        <cdr:cNvSpPr txBox="1"/>
      </cdr:nvSpPr>
      <cdr:spPr>
        <a:xfrm xmlns:a="http://schemas.openxmlformats.org/drawingml/2006/main">
          <a:off x="7884352" y="3644192"/>
          <a:ext cx="2610146" cy="333857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="1" i="1" u="none" strike="noStrike" kern="120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Average</a:t>
          </a:r>
          <a:r>
            <a:rPr lang="de-DE" sz="1400" b="1" i="1" kern="1200">
              <a:solidFill>
                <a:schemeClr val="bg1">
                  <a:lumMod val="50000"/>
                </a:schemeClr>
              </a:solidFill>
            </a:rPr>
            <a:t> discrete SRE (</a:t>
          </a:r>
          <a:r>
            <a:rPr lang="de-DE" sz="1400" b="1" i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≈ 14.1%)</a:t>
          </a:r>
          <a:endParaRPr lang="de-DE" sz="1400" b="1" i="1" kern="1200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E066-E841-40E1-9094-0391F5EA0CC9}">
  <dimension ref="A1:H32"/>
  <sheetViews>
    <sheetView tabSelected="1" topLeftCell="D1" zoomScale="115" zoomScaleNormal="115" workbookViewId="0">
      <selection activeCell="X20" sqref="X20"/>
    </sheetView>
  </sheetViews>
  <sheetFormatPr baseColWidth="10" defaultColWidth="11.42578125" defaultRowHeight="15" x14ac:dyDescent="0.25"/>
  <cols>
    <col min="1" max="1" width="6.85546875" customWidth="1"/>
    <col min="2" max="2" width="23.140625" bestFit="1" customWidth="1"/>
    <col min="3" max="3" width="5.5703125" bestFit="1" customWidth="1"/>
    <col min="4" max="4" width="13.42578125" bestFit="1" customWidth="1"/>
    <col min="5" max="5" width="17.7109375" bestFit="1" customWidth="1"/>
    <col min="6" max="6" width="21.85546875" bestFit="1" customWidth="1"/>
    <col min="7" max="7" width="27.5703125" bestFit="1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23</v>
      </c>
      <c r="F1" s="2" t="s">
        <v>3</v>
      </c>
      <c r="G1" s="2" t="s">
        <v>25</v>
      </c>
    </row>
    <row r="2" spans="1:7" ht="14.45" customHeight="1" x14ac:dyDescent="0.25">
      <c r="A2" s="7" t="s">
        <v>24</v>
      </c>
      <c r="B2" t="s">
        <v>11</v>
      </c>
      <c r="C2">
        <v>2014</v>
      </c>
      <c r="D2">
        <v>2014</v>
      </c>
      <c r="E2" s="3">
        <f>AVERAGE(C2:D2)</f>
        <v>2014</v>
      </c>
      <c r="F2" t="s">
        <v>22</v>
      </c>
      <c r="G2" s="6">
        <v>7.6999999999999999E-2</v>
      </c>
    </row>
    <row r="3" spans="1:7" x14ac:dyDescent="0.25">
      <c r="A3" s="7"/>
      <c r="B3" t="s">
        <v>12</v>
      </c>
      <c r="C3">
        <v>2008</v>
      </c>
      <c r="D3">
        <v>2013</v>
      </c>
      <c r="E3" s="3">
        <f t="shared" ref="E3:E12" si="0">AVERAGE(C3:D3)</f>
        <v>2010.5</v>
      </c>
      <c r="F3" t="s">
        <v>5</v>
      </c>
      <c r="G3" s="1">
        <v>0.15</v>
      </c>
    </row>
    <row r="4" spans="1:7" x14ac:dyDescent="0.25">
      <c r="A4" s="7"/>
      <c r="B4" t="s">
        <v>13</v>
      </c>
      <c r="C4">
        <v>2013</v>
      </c>
      <c r="D4">
        <v>2017</v>
      </c>
      <c r="E4" s="3">
        <f t="shared" si="0"/>
        <v>2015</v>
      </c>
      <c r="F4" t="s">
        <v>6</v>
      </c>
      <c r="G4" s="1">
        <v>0.18</v>
      </c>
    </row>
    <row r="5" spans="1:7" x14ac:dyDescent="0.25">
      <c r="A5" s="7"/>
      <c r="B5" t="s">
        <v>47</v>
      </c>
      <c r="C5">
        <v>2007</v>
      </c>
      <c r="D5">
        <v>2014</v>
      </c>
      <c r="E5" s="3">
        <f t="shared" si="0"/>
        <v>2010.5</v>
      </c>
      <c r="F5" t="s">
        <v>5</v>
      </c>
      <c r="G5" s="1">
        <v>0.16700000000000001</v>
      </c>
    </row>
    <row r="6" spans="1:7" x14ac:dyDescent="0.25">
      <c r="A6" s="7"/>
      <c r="B6" t="s">
        <v>47</v>
      </c>
      <c r="C6">
        <v>2007</v>
      </c>
      <c r="D6">
        <v>2014</v>
      </c>
      <c r="E6" s="3">
        <f t="shared" si="0"/>
        <v>2010.5</v>
      </c>
      <c r="F6" t="s">
        <v>5</v>
      </c>
      <c r="G6" s="1">
        <v>0.20899999999999999</v>
      </c>
    </row>
    <row r="7" spans="1:7" x14ac:dyDescent="0.25">
      <c r="A7" s="7"/>
      <c r="B7" t="s">
        <v>14</v>
      </c>
      <c r="C7">
        <v>2013</v>
      </c>
      <c r="D7">
        <v>2015</v>
      </c>
      <c r="E7" s="3">
        <f t="shared" si="0"/>
        <v>2014</v>
      </c>
      <c r="F7" t="s">
        <v>7</v>
      </c>
      <c r="G7" s="1">
        <v>8.5000000000000006E-2</v>
      </c>
    </row>
    <row r="8" spans="1:7" x14ac:dyDescent="0.25">
      <c r="A8" s="7"/>
      <c r="B8" t="s">
        <v>14</v>
      </c>
      <c r="C8">
        <v>2013</v>
      </c>
      <c r="D8">
        <v>2015</v>
      </c>
      <c r="E8" s="3">
        <f t="shared" si="0"/>
        <v>2014</v>
      </c>
      <c r="F8" t="s">
        <v>7</v>
      </c>
      <c r="G8" s="1">
        <v>0.1</v>
      </c>
    </row>
    <row r="9" spans="1:7" x14ac:dyDescent="0.25">
      <c r="A9" s="7"/>
      <c r="B9" t="s">
        <v>15</v>
      </c>
      <c r="C9">
        <v>2001</v>
      </c>
      <c r="D9">
        <v>2018</v>
      </c>
      <c r="E9" s="3">
        <f t="shared" si="0"/>
        <v>2009.5</v>
      </c>
      <c r="F9" t="s">
        <v>8</v>
      </c>
      <c r="G9" s="1">
        <v>0.28499999999999998</v>
      </c>
    </row>
    <row r="10" spans="1:7" x14ac:dyDescent="0.25">
      <c r="A10" s="7"/>
      <c r="B10" t="s">
        <v>16</v>
      </c>
      <c r="C10">
        <v>2020</v>
      </c>
      <c r="D10">
        <v>2020</v>
      </c>
      <c r="E10" s="3">
        <f t="shared" si="0"/>
        <v>2020</v>
      </c>
      <c r="F10" t="s">
        <v>9</v>
      </c>
      <c r="G10" s="1">
        <v>0.14000000000000001</v>
      </c>
    </row>
    <row r="11" spans="1:7" x14ac:dyDescent="0.25">
      <c r="A11" s="7"/>
      <c r="B11" t="s">
        <v>17</v>
      </c>
      <c r="C11">
        <v>1992</v>
      </c>
      <c r="D11">
        <v>2018</v>
      </c>
      <c r="E11" s="3">
        <f t="shared" si="0"/>
        <v>2005</v>
      </c>
      <c r="F11" t="s">
        <v>9</v>
      </c>
      <c r="G11" s="6">
        <v>0.33</v>
      </c>
    </row>
    <row r="12" spans="1:7" x14ac:dyDescent="0.25">
      <c r="A12" s="7"/>
      <c r="B12" t="s">
        <v>20</v>
      </c>
      <c r="C12">
        <v>2004</v>
      </c>
      <c r="D12">
        <v>2015</v>
      </c>
      <c r="E12" s="3">
        <f t="shared" si="0"/>
        <v>2009.5</v>
      </c>
      <c r="F12" t="s">
        <v>9</v>
      </c>
      <c r="G12" s="1">
        <v>0.23</v>
      </c>
    </row>
    <row r="13" spans="1:7" x14ac:dyDescent="0.25">
      <c r="A13" s="7"/>
      <c r="B13" t="s">
        <v>48</v>
      </c>
      <c r="C13">
        <v>2008</v>
      </c>
      <c r="D13">
        <v>2019</v>
      </c>
      <c r="E13" s="3">
        <f t="shared" ref="E13:E21" si="1">AVERAGE(C13:D13)</f>
        <v>2013.5</v>
      </c>
      <c r="F13" t="s">
        <v>37</v>
      </c>
      <c r="G13" s="1">
        <v>0.111</v>
      </c>
    </row>
    <row r="14" spans="1:7" x14ac:dyDescent="0.25">
      <c r="A14" s="7" t="s">
        <v>41</v>
      </c>
      <c r="B14" s="4" t="s">
        <v>45</v>
      </c>
      <c r="C14">
        <v>2009</v>
      </c>
      <c r="D14">
        <v>2014</v>
      </c>
      <c r="E14" s="3">
        <f t="shared" si="1"/>
        <v>2011.5</v>
      </c>
      <c r="F14" t="s">
        <v>18</v>
      </c>
      <c r="G14" s="1">
        <v>5.8000000000000003E-2</v>
      </c>
    </row>
    <row r="15" spans="1:7" ht="15" customHeight="1" x14ac:dyDescent="0.25">
      <c r="A15" s="7"/>
      <c r="B15" s="4" t="s">
        <v>45</v>
      </c>
      <c r="C15">
        <v>2009</v>
      </c>
      <c r="D15">
        <v>2014</v>
      </c>
      <c r="E15" s="3">
        <f t="shared" si="1"/>
        <v>2011.5</v>
      </c>
      <c r="F15" t="s">
        <v>18</v>
      </c>
      <c r="G15" s="6">
        <v>2.9000000000000001E-2</v>
      </c>
    </row>
    <row r="16" spans="1:7" ht="15" customHeight="1" x14ac:dyDescent="0.25">
      <c r="A16" s="7"/>
      <c r="B16" s="4" t="s">
        <v>44</v>
      </c>
      <c r="C16">
        <v>2010</v>
      </c>
      <c r="D16">
        <v>2017</v>
      </c>
      <c r="E16" s="3">
        <f t="shared" si="1"/>
        <v>2013.5</v>
      </c>
      <c r="F16" t="s">
        <v>50</v>
      </c>
      <c r="G16" s="1">
        <v>0.35</v>
      </c>
    </row>
    <row r="17" spans="1:8" x14ac:dyDescent="0.25">
      <c r="A17" s="7"/>
      <c r="B17" s="4" t="s">
        <v>19</v>
      </c>
      <c r="C17">
        <v>2015</v>
      </c>
      <c r="D17">
        <v>2021</v>
      </c>
      <c r="E17" s="3">
        <f t="shared" si="1"/>
        <v>2018</v>
      </c>
      <c r="F17" t="s">
        <v>10</v>
      </c>
      <c r="G17" s="1">
        <v>0.16</v>
      </c>
    </row>
    <row r="18" spans="1:8" x14ac:dyDescent="0.25">
      <c r="A18" s="7"/>
      <c r="B18" s="4" t="s">
        <v>39</v>
      </c>
      <c r="C18">
        <v>2015</v>
      </c>
      <c r="D18">
        <v>2021</v>
      </c>
      <c r="E18" s="3">
        <f t="shared" si="1"/>
        <v>2018</v>
      </c>
      <c r="F18" t="s">
        <v>10</v>
      </c>
      <c r="G18" s="1">
        <v>3.5000000000000003E-2</v>
      </c>
    </row>
    <row r="19" spans="1:8" x14ac:dyDescent="0.25">
      <c r="A19" s="7"/>
      <c r="B19" s="4" t="s">
        <v>21</v>
      </c>
      <c r="C19">
        <v>2004</v>
      </c>
      <c r="D19">
        <v>2015</v>
      </c>
      <c r="E19" s="3">
        <f t="shared" si="1"/>
        <v>2009.5</v>
      </c>
      <c r="F19" t="s">
        <v>9</v>
      </c>
      <c r="G19" s="1">
        <v>0.35</v>
      </c>
    </row>
    <row r="20" spans="1:8" x14ac:dyDescent="0.25">
      <c r="A20" s="7"/>
      <c r="B20" s="4" t="s">
        <v>49</v>
      </c>
      <c r="C20">
        <v>2008</v>
      </c>
      <c r="D20">
        <v>2019</v>
      </c>
      <c r="E20" s="3">
        <f t="shared" si="1"/>
        <v>2013.5</v>
      </c>
      <c r="F20" t="s">
        <v>37</v>
      </c>
      <c r="G20" s="1">
        <v>7.9600000000000004E-2</v>
      </c>
    </row>
    <row r="21" spans="1:8" x14ac:dyDescent="0.25">
      <c r="A21" s="7"/>
      <c r="B21" s="4" t="s">
        <v>46</v>
      </c>
      <c r="C21">
        <v>2016</v>
      </c>
      <c r="D21">
        <v>2018</v>
      </c>
      <c r="E21" s="3">
        <f t="shared" si="1"/>
        <v>2017</v>
      </c>
      <c r="F21" t="s">
        <v>4</v>
      </c>
      <c r="G21" s="1">
        <v>6.6000000000000003E-2</v>
      </c>
    </row>
    <row r="22" spans="1:8" x14ac:dyDescent="0.25">
      <c r="A22" s="5"/>
    </row>
    <row r="23" spans="1:8" x14ac:dyDescent="0.25">
      <c r="A23" s="8"/>
      <c r="E23">
        <v>2012</v>
      </c>
      <c r="F23" s="2" t="s">
        <v>42</v>
      </c>
      <c r="G23" s="6">
        <f>AVERAGE(G2:G13)</f>
        <v>0.17200000000000001</v>
      </c>
      <c r="H23" s="1">
        <f>G23</f>
        <v>0.17200000000000001</v>
      </c>
    </row>
    <row r="24" spans="1:8" x14ac:dyDescent="0.25">
      <c r="A24" s="7"/>
      <c r="E24">
        <v>2025</v>
      </c>
      <c r="F24" s="2"/>
      <c r="G24" s="1"/>
      <c r="H24" s="1"/>
    </row>
    <row r="26" spans="1:8" x14ac:dyDescent="0.25">
      <c r="E26">
        <v>2012</v>
      </c>
      <c r="F26" s="2" t="s">
        <v>43</v>
      </c>
      <c r="G26" s="6">
        <f>AVERAGE(G14:G21)</f>
        <v>0.14094999999999999</v>
      </c>
      <c r="H26" s="1">
        <f>G26</f>
        <v>0.14094999999999999</v>
      </c>
    </row>
    <row r="27" spans="1:8" x14ac:dyDescent="0.25">
      <c r="E27">
        <v>2025</v>
      </c>
    </row>
    <row r="31" spans="1:8" x14ac:dyDescent="0.25">
      <c r="E31" s="1"/>
      <c r="F31" s="1"/>
    </row>
    <row r="32" spans="1:8" x14ac:dyDescent="0.25">
      <c r="F32" s="1"/>
    </row>
  </sheetData>
  <mergeCells count="3">
    <mergeCell ref="A2:A13"/>
    <mergeCell ref="A14:A21"/>
    <mergeCell ref="A23:A24"/>
  </mergeCells>
  <phoneticPr fontId="2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1E67-AB34-4919-B918-0BEC09FDB760}">
  <dimension ref="A1:A13"/>
  <sheetViews>
    <sheetView workbookViewId="0">
      <selection activeCell="A7" sqref="A7"/>
    </sheetView>
  </sheetViews>
  <sheetFormatPr baseColWidth="10"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40</v>
      </c>
    </row>
    <row r="10" spans="1:1" x14ac:dyDescent="0.25">
      <c r="A10" t="s">
        <v>38</v>
      </c>
    </row>
    <row r="11" spans="1:1" x14ac:dyDescent="0.25">
      <c r="A11" t="s">
        <v>26</v>
      </c>
    </row>
    <row r="12" spans="1:1" x14ac:dyDescent="0.25">
      <c r="A12" t="s">
        <v>27</v>
      </c>
    </row>
    <row r="13" spans="1:1" x14ac:dyDescent="0.25">
      <c r="A13" t="s">
        <v>28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8d14a-07a9-4934-85b8-461c704ece81">
      <Terms xmlns="http://schemas.microsoft.com/office/infopath/2007/PartnerControls"/>
    </lcf76f155ced4ddcb4097134ff3c332f>
    <TaxCatchAll xmlns="fe8f3d49-6703-408e-bf40-e920a762ae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5EE94B2D64BE4694E849DCE26AD593" ma:contentTypeVersion="13" ma:contentTypeDescription="Ein neues Dokument erstellen." ma:contentTypeScope="" ma:versionID="eefe35e2bc356a19fa07192799051949">
  <xsd:schema xmlns:xsd="http://www.w3.org/2001/XMLSchema" xmlns:xs="http://www.w3.org/2001/XMLSchema" xmlns:p="http://schemas.microsoft.com/office/2006/metadata/properties" xmlns:ns2="6bf8d14a-07a9-4934-85b8-461c704ece81" xmlns:ns3="fe8f3d49-6703-408e-bf40-e920a762ae48" targetNamespace="http://schemas.microsoft.com/office/2006/metadata/properties" ma:root="true" ma:fieldsID="afceab34ab0d3b50cce8ccc743afe511" ns2:_="" ns3:_="">
    <xsd:import namespace="6bf8d14a-07a9-4934-85b8-461c704ece81"/>
    <xsd:import namespace="fe8f3d49-6703-408e-bf40-e920a762a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d14a-07a9-4934-85b8-461c704ece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bc5ab843-ef0b-4e7c-a107-278db0f4e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f3d49-6703-408e-bf40-e920a762a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5c9d190-c362-4a46-8f84-11d5b89075ca}" ma:internalName="TaxCatchAll" ma:showField="CatchAllData" ma:web="fe8f3d49-6703-408e-bf40-e920a762ae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3452F2-EB7D-44BE-B0A1-15316374F544}">
  <ds:schemaRefs>
    <ds:schemaRef ds:uri="fe8f3d49-6703-408e-bf40-e920a762ae48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6bf8d14a-07a9-4934-85b8-461c704ece8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AC0B63E-F44B-42FE-95D3-05D3268495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8d14a-07a9-4934-85b8-461c704ece81"/>
    <ds:schemaRef ds:uri="fe8f3d49-6703-408e-bf40-e920a762a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F3B76A-77B5-44F4-A97D-5FDC1D4654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Overview</vt:lpstr>
      <vt:lpstr>Sources</vt:lpstr>
    </vt:vector>
  </TitlesOfParts>
  <Manager/>
  <Company>FernUniversität in Hagen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Bucksteeg, Michael</dc:creator>
  <cp:keywords/>
  <dc:description/>
  <cp:lastModifiedBy>Delic, Mensur</cp:lastModifiedBy>
  <cp:revision/>
  <dcterms:created xsi:type="dcterms:W3CDTF">2023-06-09T10:51:36Z</dcterms:created>
  <dcterms:modified xsi:type="dcterms:W3CDTF">2025-10-31T13:40:44Z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0x010100225EE94B2D64BE4694E849DCE26AD593</vt:lpwstr>
  </property>
</Properties>
</file>